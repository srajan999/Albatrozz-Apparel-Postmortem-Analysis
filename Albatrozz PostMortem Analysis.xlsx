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Dashboard" sheetId="3" state="visible" r:id="rId5"/>
    <sheet name="Insights &amp; 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Blue cells = founder-recollection estimates (see Read Me). Black cells = calculated via formula. All charts on Dashboard pull live from this tab.</t>
        </r>
      </text>
    </comment>
  </commentList>
</comments>
</file>

<file path=xl/sharedStrings.xml><?xml version="1.0" encoding="utf-8"?>
<sst xmlns="http://schemas.openxmlformats.org/spreadsheetml/2006/main" count="129" uniqueCount="126">
  <si>
    <t xml:space="preserve">Albatrozz Apparel — Business Post-Mortem Analysis</t>
  </si>
  <si>
    <t xml:space="preserve">By Srajan Choudhary — Founder &amp; Business Operations Lead (2022–2024)</t>
  </si>
  <si>
    <t xml:space="preserve">PURPOSE</t>
  </si>
  <si>
    <t xml:space="preserve">This workbook analyses two years of Albatrozz Apparel's own operating data to identify what drove sales</t>
  </si>
  <si>
    <t xml:space="preserve">growth in Year 1 and the subsequent plateau/decline in Year 2.</t>
  </si>
  <si>
    <t xml:space="preserve">DATA SOURCE &amp; METHODOLOGY</t>
  </si>
  <si>
    <t xml:space="preserve">Formal Shopify/Meta Ads exports were not retained after the venture closed. Monthly figures are</t>
  </si>
  <si>
    <t xml:space="preserve">RECONSTRUCTED from the founder's own operating recollection, calibrated to remembered totals</t>
  </si>
  <si>
    <t xml:space="preserve">(~2 years active, ~900-1000 orders, ~Rs.500-1000 AOV, ~Rs.5,000-15,000/month ad spend, an expanding</t>
  </si>
  <si>
    <t xml:space="preserve">catalog). Treat absolute figures as directionally realistic; the PATTERNS are the analytical takeaway.</t>
  </si>
  <si>
    <t xml:space="preserve">HOW THIS WORKBOOK IS BUILT</t>
  </si>
  <si>
    <t xml:space="preserve">Every chart and KPI on the Dashboard tab is formula-driven off the Data tab — change any blue input</t>
  </si>
  <si>
    <t xml:space="preserve">cell in Data and every card and chart recalculates automatically. Grey-shaded rows on the Data tab are</t>
  </si>
  <si>
    <t xml:space="preserve">helper calculations that feed the charts; leave their formulas intact.</t>
  </si>
  <si>
    <t xml:space="preserve">TABS</t>
  </si>
  <si>
    <t xml:space="preserve">Data       - monthly inputs (blue) + calculated metrics (black, formula-driven) + chart helper tables</t>
  </si>
  <si>
    <t xml:space="preserve">Dashboard  - 6 live KPI cards + 9 charts covering growth, efficiency, retention, and seasonality</t>
  </si>
  <si>
    <t xml:space="preserve">Insights   - root-cause analysis and recommendations</t>
  </si>
  <si>
    <t xml:space="preserve">Month</t>
  </si>
  <si>
    <t xml:space="preserve">Orders</t>
  </si>
  <si>
    <t xml:space="preserve">AOV (INR)</t>
  </si>
  <si>
    <t xml:space="preserve">Ad Spend (INR)</t>
  </si>
  <si>
    <t xml:space="preserve">Repeat Purchase Rate</t>
  </si>
  <si>
    <t xml:space="preserve">Active SKUs</t>
  </si>
  <si>
    <t xml:space="preserve">Revenue (INR)</t>
  </si>
  <si>
    <t xml:space="preserve">New Customers</t>
  </si>
  <si>
    <t xml:space="preserve">Repeat Customers</t>
  </si>
  <si>
    <t xml:space="preserve">CAC (INR)</t>
  </si>
  <si>
    <t xml:space="preserve">Ad Spend % of Revenue</t>
  </si>
  <si>
    <t xml:space="preserve">Year</t>
  </si>
  <si>
    <t xml:space="preserve">Cumulative Revenue (INR)</t>
  </si>
  <si>
    <t xml:space="preserve">Mar-22</t>
  </si>
  <si>
    <t xml:space="preserve">Apr-22</t>
  </si>
  <si>
    <t xml:space="preserve">May-22</t>
  </si>
  <si>
    <t xml:space="preserve">Jun-22</t>
  </si>
  <si>
    <t xml:space="preserve">Jul-22</t>
  </si>
  <si>
    <t xml:space="preserve">Aug-22</t>
  </si>
  <si>
    <t xml:space="preserve">Sep-22</t>
  </si>
  <si>
    <t xml:space="preserve">Oct-22</t>
  </si>
  <si>
    <t xml:space="preserve">Nov-22</t>
  </si>
  <si>
    <t xml:space="preserve">Dec-22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</si>
  <si>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</si>
  <si>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</si>
  <si>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</si>
  <si>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</si>
  <si>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</si>
  <si>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</si>
  <si>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Jul-23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</si>
  <si>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</si>
  <si>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</si>
  <si>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</si>
  <si>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</si>
  <si>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</si>
  <si>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Jan-24</t>
  </si>
  <si>
    <t xml:space="preserve">Feb-24</t>
  </si>
  <si>
    <t xml:space="preserve">TOTAL / AVG</t>
  </si>
  <si>
    <t xml:space="preserve">CHART HELPER TABLES — auto-calculated, feeds Dashboard charts, do not edit formulas</t>
  </si>
  <si>
    <t xml:space="preserve">Customer Type</t>
  </si>
  <si>
    <t xml:space="preserve">Count</t>
  </si>
  <si>
    <t xml:space="preserve">Cycle Month</t>
  </si>
  <si>
    <t xml:space="preserve">Year 1 Orders</t>
  </si>
  <si>
    <t xml:space="preserve">Year 2 Orders</t>
  </si>
  <si>
    <t xml:space="preserve">Total Orders</t>
  </si>
  <si>
    <t xml:space="preserve">Total Revenue</t>
  </si>
  <si>
    <t xml:space="preserve">Total Ad Spend</t>
  </si>
  <si>
    <t xml:space="preserve">Weighted CAC</t>
  </si>
  <si>
    <t xml:space="preserve">Weighted Repeat Rate</t>
  </si>
  <si>
    <t xml:space="preserve">Peak Active SKUs</t>
  </si>
  <si>
    <t xml:space="preserve">Mar</t>
  </si>
  <si>
    <t xml:space="preserve">Year 1</t>
  </si>
  <si>
    <t xml:space="preserve">Apr</t>
  </si>
  <si>
    <t xml:space="preserve">Year 2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</si>
  <si>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</si>
  <si>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</si>
  <si>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</si>
  <si>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</si>
  <si>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</si>
  <si>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</si>
  <si>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</si>
  <si>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</si>
  <si>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</si>
  <si>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</si>
  <si>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Albatrozz Apparel — Live Performance Dashboard</t>
  </si>
  <si>
    <t xml:space="preserve">All cards and charts recalculate automatically from the Data tab</t>
  </si>
  <si>
    <t xml:space="preserve">Total Orders (24 mo)</t>
  </si>
  <si>
    <t xml:space="preserve">Total Revenue (INR)</t>
  </si>
  <si>
    <t xml:space="preserve">Overall CAC (INR)</t>
  </si>
  <si>
    <t xml:space="preserve">Peak Revenue Month</t>
  </si>
  <si>
    <t xml:space="preserve">Repeat Rate Decline (Peak→Final)</t>
  </si>
  <si>
    <t xml:space="preserve">SKU Growth (Start→Peak)</t>
  </si>
  <si>
    <t xml:space="preserve">Root-Cause Analysis: Why Albatrozz's Sales Plateaued</t>
  </si>
  <si>
    <t xml:space="preserve">1. WHAT THE DATA SHOWS</t>
  </si>
  <si>
    <t xml:space="preserve">Year-over-year, Albatrozz's ad spend fell 23.4% (Rs.1,11,000 -&gt; Rs.85,000), orders fell 13.9%</t>
  </si>
  <si>
    <t xml:space="preserve">(505 -&gt; 435), and revenue fell 22.2% (Rs.3,85,200 -&gt; Rs.2,99,650). Two things stand out:</t>
  </si>
  <si>
    <t xml:space="preserve">  (a) Orders fell LESS than ad spend did (-14% vs -23%) — meaning the business wasn't simply buying</t>
  </si>
  <si>
    <t xml:space="preserve">      fewer customers 1:1; something partly cushioned the drop.</t>
  </si>
  <si>
    <t xml:space="preserve">  (b) Weighted CAC actually IMPROVED year-over-year (Rs.254 -&gt; Rs.230 per new customer) — acquisition</t>
  </si>
  <si>
    <t xml:space="preserve">      efficiency was not the problem. The constraint was how much capital/time could be put in, not</t>
  </si>
  <si>
    <t xml:space="preserve">      how well the ads converted.</t>
  </si>
  <si>
    <t xml:space="preserve">2. THE REAL VULNERABILITY: A THINNING REPEAT-CUSTOMER CUSHION</t>
  </si>
  <si>
    <t xml:space="preserve">The monthly repeat purchase rate tells the sharper story: it peaked at 20% in Feb'23, then declined</t>
  </si>
  <si>
    <t xml:space="preserve">steadily to just 9% by Feb'24 — an 11-point erosion within the second year, even as ad spend was still</t>
  </si>
  <si>
    <t xml:space="preserve">being deployed for most of it. Over the same window, active SKU count rose from 12 to a peak of 19.</t>
  </si>
  <si>
    <t xml:space="preserve">The mechanism: as the catalog kept expanding into new, untested products rather than consolidating</t>
  </si>
  <si>
    <t xml:space="preserve">around proven sellers, one-time buyers had less reason and less consistent availability to purchase</t>
  </si>
  <si>
    <t xml:space="preserve">again. By the time the founder needed to pull back ad spend (time/capital constraints post-graduation),</t>
  </si>
  <si>
    <t xml:space="preserve">the repeat-customer base that could have cushioned that pullback had already eroded to its weakest</t>
  </si>
  <si>
    <t xml:space="preserve">point of the entire 24 months — so the spend cut hit revenue harder than it would have a year earlier.</t>
  </si>
  <si>
    <t xml:space="preserve">3. BOTTOM LINE</t>
  </si>
  <si>
    <t xml:space="preserve">This wasn't a case of 'the ads stopped working.' It was a case of building a business with no</t>
  </si>
  <si>
    <t xml:space="preserve">structural cushion against its own founder's bandwidth running out — and that cushion (repeat</t>
  </si>
  <si>
    <t xml:space="preserve">customers) was being actively undermined by a constantly-changing catalog months before the capital</t>
  </si>
  <si>
    <t xml:space="preserve">constraint actually hit.</t>
  </si>
  <si>
    <t xml:space="preserve">4. WHAT I WOULD DO DIFFERENTLY</t>
  </si>
  <si>
    <t xml:space="preserve">- Narrow the catalog to 3-5 proven SKUs once early data identified winners, instead of continuously</t>
  </si>
  <si>
    <t xml:space="preserve">  testing new products — trading short-term novelty for a durable repeat-purchase base.</t>
  </si>
  <si>
    <t xml:space="preserve">- Build a retention mechanism (remarketing to past buyers, a repeat-purchase discount) BEFORE ad spend</t>
  </si>
  <si>
    <t xml:space="preserve">  became constrained, not after — the cushion needs to exist before the shock, not during it.</t>
  </si>
  <si>
    <t xml:space="preserve">- Track repeat rate and CAC monthly while running the business; the erosion was visible in the</t>
  </si>
  <si>
    <t xml:space="preserve">  pattern months before it showed up in the topline revenue numbers.</t>
  </si>
  <si>
    <t xml:space="preserve">5. WHY THIS MATTERS FOR THE ROLE I'M APPLYING FOR</t>
  </si>
  <si>
    <t xml:space="preserve">This required separating two effects that looked like one problem on the surface: a deliberate,</t>
  </si>
  <si>
    <t xml:space="preserve">controllable choice (reduced ad spend) from a structural, slower-moving vulnerability (eroding</t>
  </si>
  <si>
    <t xml:space="preserve">retention). That's the core skill of business analysis — not just noticing a metric moved, but</t>
  </si>
  <si>
    <t xml:space="preserve">isolating which underlying driver actually moved it, especially when the obvious explanation</t>
  </si>
  <si>
    <t xml:space="preserve">(reduced spend = fewer sales) turns out to be only part of the story.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</si>
</sst>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@"/>
    <numFmt numFmtId="168" formatCode="\+#,##0;\-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7D9"/>
        <bgColor rgb="FFD9D9D9"/>
      </patternFill>
    </fill>
    <fill>
      <patternFill patternType="solid">
        <fgColor rgb="FFD9D9D9"/>
        <bgColor rgb="FFD9E7D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7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CC8F8E"/>
      <rgbColor rgb="FF1F3864"/>
      <rgbColor rgb="FF339966"/>
      <rgbColor rgb="FF003300"/>
      <rgbColor rgb="FF333300"/>
      <rgbColor rgb="FFC0504D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&amp;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Data!$B$2:$B$25</c:f>
              <c:numCache>
                <c:formatCode>General</c:formatCode>
                <c:ptCount val="2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70</c:v>
                </c:pt>
                <c:pt idx="8">
                  <c:v>85</c:v>
                </c:pt>
                <c:pt idx="9">
                  <c:v>55</c:v>
                </c:pt>
                <c:pt idx="10">
                  <c:v>45</c:v>
                </c:pt>
                <c:pt idx="11">
                  <c:v>40</c:v>
                </c:pt>
                <c:pt idx="12">
                  <c:v>42</c:v>
                </c:pt>
                <c:pt idx="13">
                  <c:v>40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30</c:v>
                </c:pt>
                <c:pt idx="18">
                  <c:v>32</c:v>
                </c:pt>
                <c:pt idx="19">
                  <c:v>50</c:v>
                </c:pt>
                <c:pt idx="20">
                  <c:v>60</c:v>
                </c:pt>
                <c:pt idx="21">
                  <c:v>35</c:v>
                </c:pt>
                <c:pt idx="22">
                  <c:v>25</c:v>
                </c:pt>
                <c:pt idx="23">
                  <c:v>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868415"/>
        <c:axId val="84791018"/>
      </c:lineChart>
      <c:lineChart>
        <c:grouping val="standard"/>
        <c:varyColors val="0"/>
        <c:ser>
          <c:idx val="1"/>
          <c:order val="1"/>
          <c:tx>
            <c:strRef>
              <c:f>Data!G1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Data!$G$2:$G$25</c:f>
              <c:numCache>
                <c:formatCode>#,##0</c:formatCode>
                <c:ptCount val="24"/>
                <c:pt idx="0">
                  <c:v>10200</c:v>
                </c:pt>
                <c:pt idx="1">
                  <c:v>14000</c:v>
                </c:pt>
                <c:pt idx="2">
                  <c:v>17750</c:v>
                </c:pt>
                <c:pt idx="3">
                  <c:v>21600</c:v>
                </c:pt>
                <c:pt idx="4">
                  <c:v>25900</c:v>
                </c:pt>
                <c:pt idx="5">
                  <c:v>30000</c:v>
                </c:pt>
                <c:pt idx="6">
                  <c:v>34200</c:v>
                </c:pt>
                <c:pt idx="7">
                  <c:v>56000</c:v>
                </c:pt>
                <c:pt idx="8">
                  <c:v>69700</c:v>
                </c:pt>
                <c:pt idx="9">
                  <c:v>42900</c:v>
                </c:pt>
                <c:pt idx="10">
                  <c:v>33750</c:v>
                </c:pt>
                <c:pt idx="11">
                  <c:v>29200</c:v>
                </c:pt>
                <c:pt idx="12">
                  <c:v>30240</c:v>
                </c:pt>
                <c:pt idx="13">
                  <c:v>28400</c:v>
                </c:pt>
                <c:pt idx="14">
                  <c:v>26600</c:v>
                </c:pt>
                <c:pt idx="15">
                  <c:v>24150</c:v>
                </c:pt>
                <c:pt idx="16">
                  <c:v>22440</c:v>
                </c:pt>
                <c:pt idx="17">
                  <c:v>20100</c:v>
                </c:pt>
                <c:pt idx="18">
                  <c:v>21120</c:v>
                </c:pt>
                <c:pt idx="19">
                  <c:v>35000</c:v>
                </c:pt>
                <c:pt idx="20">
                  <c:v>43200</c:v>
                </c:pt>
                <c:pt idx="21">
                  <c:v>23100</c:v>
                </c:pt>
                <c:pt idx="22">
                  <c:v>16000</c:v>
                </c:pt>
                <c:pt idx="23">
                  <c:v>9300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962749"/>
        <c:axId val="68089249"/>
      </c:lineChart>
      <c:catAx>
        <c:axId val="85868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91018"/>
        <c:crosses val="autoZero"/>
        <c:auto val="1"/>
        <c:lblAlgn val="ctr"/>
        <c:lblOffset val="100"/>
        <c:noMultiLvlLbl val="0"/>
      </c:catAx>
      <c:valAx>
        <c:axId val="84791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68415"/>
        <c:crosses val="autoZero"/>
        <c:crossBetween val="between"/>
      </c:valAx>
      <c:catAx>
        <c:axId val="79962749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89249"/>
        <c:crosses val="autoZero"/>
        <c:auto val="1"/>
        <c:lblAlgn val="ctr"/>
        <c:lblOffset val="100"/>
        <c:noMultiLvlLbl val="0"/>
      </c:catAx>
      <c:valAx>
        <c:axId val="6808924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6274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Acquisition Cost (CAC)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Data!J1</c:f>
              <c:strCache>
                <c:ptCount val="1"/>
                <c:pt idx="0">
                  <c:v>CAC (INR)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Data!$J$2:$J$25</c:f>
              <c:numCache>
                <c:formatCode>#,##0</c:formatCode>
                <c:ptCount val="24"/>
                <c:pt idx="0">
                  <c:v>333</c:v>
                </c:pt>
                <c:pt idx="1">
                  <c:v>300</c:v>
                </c:pt>
                <c:pt idx="2">
                  <c:v>292</c:v>
                </c:pt>
                <c:pt idx="3">
                  <c:v>286</c:v>
                </c:pt>
                <c:pt idx="4">
                  <c:v>281</c:v>
                </c:pt>
                <c:pt idx="5">
                  <c:v>257</c:v>
                </c:pt>
                <c:pt idx="6">
                  <c:v>256</c:v>
                </c:pt>
                <c:pt idx="7">
                  <c:v>233</c:v>
                </c:pt>
                <c:pt idx="8">
                  <c:v>211</c:v>
                </c:pt>
                <c:pt idx="9">
                  <c:v>244</c:v>
                </c:pt>
                <c:pt idx="10">
                  <c:v>250</c:v>
                </c:pt>
                <c:pt idx="11">
                  <c:v>250</c:v>
                </c:pt>
                <c:pt idx="12">
                  <c:v>235</c:v>
                </c:pt>
                <c:pt idx="13">
                  <c:v>250</c:v>
                </c:pt>
                <c:pt idx="14">
                  <c:v>226</c:v>
                </c:pt>
                <c:pt idx="15">
                  <c:v>241</c:v>
                </c:pt>
                <c:pt idx="16">
                  <c:v>214</c:v>
                </c:pt>
                <c:pt idx="17">
                  <c:v>231</c:v>
                </c:pt>
                <c:pt idx="18">
                  <c:v>214</c:v>
                </c:pt>
                <c:pt idx="19">
                  <c:v>233</c:v>
                </c:pt>
                <c:pt idx="20">
                  <c:v>231</c:v>
                </c:pt>
                <c:pt idx="21">
                  <c:v>194</c:v>
                </c:pt>
                <c:pt idx="22">
                  <c:v>217</c:v>
                </c:pt>
                <c:pt idx="23">
                  <c:v>286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487245"/>
        <c:axId val="73152310"/>
      </c:lineChart>
      <c:catAx>
        <c:axId val="11487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52310"/>
        <c:crosses val="autoZero"/>
        <c:auto val="1"/>
        <c:lblAlgn val="ctr"/>
        <c:lblOffset val="100"/>
        <c:noMultiLvlLbl val="0"/>
      </c:catAx>
      <c:valAx>
        <c:axId val="73152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7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Repeat Purchase Rate vs. Active SKU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Data!E1</c:f>
              <c:strCache>
                <c:ptCount val="1"/>
                <c:pt idx="0">
                  <c:v>Repeat Purchase Rate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Data!$E$2:$E$25</c:f>
              <c:numCache>
                <c:formatCode>0.0%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0.05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</c:v>
                </c:pt>
                <c:pt idx="7">
                  <c:v>0.15</c:v>
                </c:pt>
                <c:pt idx="8">
                  <c:v>0.16</c:v>
                </c:pt>
                <c:pt idx="9">
                  <c:v>0.18</c:v>
                </c:pt>
                <c:pt idx="10">
                  <c:v>0.19</c:v>
                </c:pt>
                <c:pt idx="11">
                  <c:v>0.2</c:v>
                </c:pt>
                <c:pt idx="12">
                  <c:v>0.2</c:v>
                </c:pt>
                <c:pt idx="13">
                  <c:v>0.19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0.15</c:v>
                </c:pt>
                <c:pt idx="18">
                  <c:v>0.14</c:v>
                </c:pt>
                <c:pt idx="19">
                  <c:v>0.14</c:v>
                </c:pt>
                <c:pt idx="20">
                  <c:v>0.13</c:v>
                </c:pt>
                <c:pt idx="21">
                  <c:v>0.11</c:v>
                </c:pt>
                <c:pt idx="22">
                  <c:v>0.1</c:v>
                </c:pt>
                <c:pt idx="23">
                  <c:v>0.09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354875"/>
        <c:axId val="26151053"/>
      </c:lineChart>
      <c:lineChart>
        <c:grouping val="standard"/>
        <c:varyColors val="0"/>
        <c:ser>
          <c:idx val="1"/>
          <c:order val="1"/>
          <c:tx>
            <c:strRef>
              <c:f>Data!F1</c:f>
              <c:strCache>
                <c:ptCount val="1"/>
                <c:pt idx="0">
                  <c:v>Active SKUs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Data!$F$2:$F$25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18</c:v>
                </c:pt>
                <c:pt idx="21">
                  <c:v>15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07489"/>
        <c:axId val="98450184"/>
      </c:lineChart>
      <c:catAx>
        <c:axId val="81354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51053"/>
        <c:crosses val="autoZero"/>
        <c:auto val="1"/>
        <c:lblAlgn val="ctr"/>
        <c:lblOffset val="100"/>
        <c:noMultiLvlLbl val="0"/>
      </c:catAx>
      <c:valAx>
        <c:axId val="26151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Repeat Purchase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54875"/>
        <c:crosses val="autoZero"/>
        <c:crossBetween val="between"/>
      </c:valAx>
      <c:catAx>
        <c:axId val="23107489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50184"/>
        <c:crosses val="autoZero"/>
        <c:auto val="1"/>
        <c:lblAlgn val="ctr"/>
        <c:lblOffset val="100"/>
        <c:noMultiLvlLbl val="0"/>
      </c:catAx>
      <c:valAx>
        <c:axId val="9845018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Active SKUs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074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 Spend as %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Data!K1</c:f>
              <c:strCache>
                <c:ptCount val="1"/>
                <c:pt idx="0">
                  <c:v>Ad Spend % of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Data!$K$2:$K$25</c:f>
              <c:numCache>
                <c:formatCode>0.0%</c:formatCode>
                <c:ptCount val="24"/>
                <c:pt idx="0">
                  <c:v>0.490196078431373</c:v>
                </c:pt>
                <c:pt idx="1">
                  <c:v>0.428571428571429</c:v>
                </c:pt>
                <c:pt idx="2">
                  <c:v>0.394366197183099</c:v>
                </c:pt>
                <c:pt idx="3">
                  <c:v>0.37037037037037</c:v>
                </c:pt>
                <c:pt idx="4">
                  <c:v>0.347490347490348</c:v>
                </c:pt>
                <c:pt idx="5">
                  <c:v>0.3</c:v>
                </c:pt>
                <c:pt idx="6">
                  <c:v>0.292397660818713</c:v>
                </c:pt>
                <c:pt idx="7">
                  <c:v>0.25</c:v>
                </c:pt>
                <c:pt idx="8">
                  <c:v>0.215208034433286</c:v>
                </c:pt>
                <c:pt idx="9">
                  <c:v>0.256410256410256</c:v>
                </c:pt>
                <c:pt idx="10">
                  <c:v>0.266666666666667</c:v>
                </c:pt>
                <c:pt idx="11">
                  <c:v>0.273972602739726</c:v>
                </c:pt>
                <c:pt idx="12">
                  <c:v>0.264550264550265</c:v>
                </c:pt>
                <c:pt idx="13">
                  <c:v>0.28169014084507</c:v>
                </c:pt>
                <c:pt idx="14">
                  <c:v>0.263157894736842</c:v>
                </c:pt>
                <c:pt idx="15">
                  <c:v>0.289855072463768</c:v>
                </c:pt>
                <c:pt idx="16">
                  <c:v>0.267379679144385</c:v>
                </c:pt>
                <c:pt idx="17">
                  <c:v>0.298507462686567</c:v>
                </c:pt>
                <c:pt idx="18">
                  <c:v>0.284090909090909</c:v>
                </c:pt>
                <c:pt idx="19">
                  <c:v>0.285714285714286</c:v>
                </c:pt>
                <c:pt idx="20">
                  <c:v>0.277777777777778</c:v>
                </c:pt>
                <c:pt idx="21">
                  <c:v>0.25974025974026</c:v>
                </c:pt>
                <c:pt idx="22">
                  <c:v>0.3125</c:v>
                </c:pt>
                <c:pt idx="23">
                  <c:v>0.43010752688172</c:v>
                </c:pt>
              </c:numCache>
            </c:numRef>
          </c:val>
        </c:ser>
        <c:gapWidth val="150"/>
        <c:overlap val="0"/>
        <c:axId val="98981476"/>
        <c:axId val="40209154"/>
      </c:barChart>
      <c:catAx>
        <c:axId val="98981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09154"/>
        <c:crosses val="autoZero"/>
        <c:auto val="1"/>
        <c:lblAlgn val="ctr"/>
        <c:lblOffset val="100"/>
        <c:noMultiLvlLbl val="0"/>
      </c:catAx>
      <c:valAx>
        <c:axId val="40209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81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 Comparison: Year 1 vs Year 2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Data!E30</c:f>
              <c:strCache>
                <c:ptCount val="1"/>
                <c:pt idx="0">
                  <c:v>Year 1 Orders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Data!$D$31:$D$42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Data!$E$31:$E$42</c:f>
              <c:numCache>
                <c:formatCode>General</c:formatCode>
                <c:ptCount val="12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70</c:v>
                </c:pt>
                <c:pt idx="8">
                  <c:v>85</c:v>
                </c:pt>
                <c:pt idx="9">
                  <c:v>55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Data!F30</c:f>
              <c:strCache>
                <c:ptCount val="1"/>
                <c:pt idx="0">
                  <c:v>Year 2 Orders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Data!$D$31:$D$42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Data!$F$31:$F$42</c:f>
              <c:numCache>
                <c:formatCode>General</c:formatCode>
                <c:ptCount val="12"/>
                <c:pt idx="0">
                  <c:v>42</c:v>
                </c:pt>
                <c:pt idx="1">
                  <c:v>40</c:v>
                </c:pt>
                <c:pt idx="2">
                  <c:v>38</c:v>
                </c:pt>
                <c:pt idx="3">
                  <c:v>35</c:v>
                </c:pt>
                <c:pt idx="4">
                  <c:v>33</c:v>
                </c:pt>
                <c:pt idx="5">
                  <c:v>30</c:v>
                </c:pt>
                <c:pt idx="6">
                  <c:v>32</c:v>
                </c:pt>
                <c:pt idx="7">
                  <c:v>50</c:v>
                </c:pt>
                <c:pt idx="8">
                  <c:v>60</c:v>
                </c:pt>
                <c:pt idx="9">
                  <c:v>35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476484"/>
        <c:axId val="99701086"/>
      </c:lineChart>
      <c:catAx>
        <c:axId val="174764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Cycle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01086"/>
        <c:crosses val="autoZero"/>
        <c:auto val="1"/>
        <c:lblAlgn val="ctr"/>
        <c:lblOffset val="100"/>
        <c:noMultiLvlLbl val="0"/>
      </c:catAx>
      <c:valAx>
        <c:axId val="99701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6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Mix: New vs Repeat (24 mo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Data!B30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Data!$A$31:$A$32</c:f>
              <c:strCache>
                <c:ptCount val="2"/>
                <c:pt idx="0">
                  <c:v>New Customers</c:v>
                </c:pt>
                <c:pt idx="1">
                  <c:v>Repeat Customers</c:v>
                </c:pt>
              </c:strCache>
            </c:strRef>
          </c:cat>
          <c:val>
            <c:numRef>
              <c:f>Data!$B$31:$B$32</c:f>
              <c:numCache>
                <c:formatCode>General</c:formatCode>
                <c:ptCount val="2"/>
                <c:pt idx="0">
                  <c:v>808</c:v>
                </c:pt>
                <c:pt idx="1">
                  <c:v>132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Orders: Y1 vs Y2 (-13.9%, less steep than the -23% spend cut)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Data!I30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Data!$H$31:$H$32</c:f>
              <c:strCache>
                <c:ptCount val="2"/>
                <c:pt idx="0">
                  <c:v>Year 1</c:v>
                </c:pt>
                <c:pt idx="1">
                  <c:v>Year 2</c:v>
                </c:pt>
              </c:strCache>
            </c:strRef>
          </c:cat>
          <c:val>
            <c:numRef>
              <c:f>Data!$I$31:$I$32</c:f>
              <c:numCache>
                <c:formatCode>#,##0</c:formatCode>
                <c:ptCount val="2"/>
                <c:pt idx="0">
                  <c:v>505</c:v>
                </c:pt>
                <c:pt idx="1">
                  <c:v>435</c:v>
                </c:pt>
              </c:numCache>
            </c:numRef>
          </c:val>
        </c:ser>
        <c:gapWidth val="150"/>
        <c:overlap val="0"/>
        <c:axId val="6818878"/>
        <c:axId val="97101793"/>
      </c:barChart>
      <c:catAx>
        <c:axId val="68188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01793"/>
        <c:crosses val="autoZero"/>
        <c:auto val="1"/>
        <c:lblAlgn val="ctr"/>
        <c:lblOffset val="100"/>
        <c:noMultiLvlLbl val="0"/>
      </c:catAx>
      <c:valAx>
        <c:axId val="97101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8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Avg CAC: Y1 vs Y2 (Efficiency IMPROVED)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Data!L30</c:f>
              <c:strCache>
                <c:ptCount val="1"/>
                <c:pt idx="0">
                  <c:v>Weighted CAC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Data!$H$31:$H$32</c:f>
              <c:strCache>
                <c:ptCount val="2"/>
                <c:pt idx="0">
                  <c:v>Year 1</c:v>
                </c:pt>
                <c:pt idx="1">
                  <c:v>Year 2</c:v>
                </c:pt>
              </c:strCache>
            </c:strRef>
          </c:cat>
          <c:val>
            <c:numRef>
              <c:f>Data!$L$31:$L$32</c:f>
              <c:numCache>
                <c:formatCode>#,##0</c:formatCode>
                <c:ptCount val="2"/>
                <c:pt idx="0">
                  <c:v>254.004576659039</c:v>
                </c:pt>
                <c:pt idx="1">
                  <c:v>229.11051212938</c:v>
                </c:pt>
              </c:numCache>
            </c:numRef>
          </c:val>
        </c:ser>
        <c:gapWidth val="150"/>
        <c:overlap val="0"/>
        <c:axId val="43616861"/>
        <c:axId val="81085098"/>
      </c:barChart>
      <c:catAx>
        <c:axId val="43616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85098"/>
        <c:crosses val="autoZero"/>
        <c:auto val="1"/>
        <c:lblAlgn val="ctr"/>
        <c:lblOffset val="100"/>
        <c:noMultiLvlLbl val="0"/>
      </c:catAx>
      <c:valAx>
        <c:axId val="81085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16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Revenue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Data!M1</c:f>
              <c:strCache>
                <c:ptCount val="1"/>
                <c:pt idx="0">
                  <c:v>Cumulative Revenue (INR)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Data!$A$2:$A$25</c:f>
              <c:strCache>
                <c:ptCount val="24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  <c:pt idx="13">
                  <c:v>Apr-23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Aug-23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Dec-23</c:v>
                </c:pt>
                <c:pt idx="22">
                  <c:v>Jan-24</c:v>
                </c:pt>
                <c:pt idx="23">
                  <c:v>Feb-24</c:v>
                </c:pt>
              </c:strCache>
            </c:strRef>
          </c:cat>
          <c:val>
            <c:numRef>
              <c:f>Data!$M$2:$M$25</c:f>
              <c:numCache>
                <c:formatCode>#,##0</c:formatCode>
                <c:ptCount val="24"/>
                <c:pt idx="0">
                  <c:v>10200</c:v>
                </c:pt>
                <c:pt idx="1">
                  <c:v>24200</c:v>
                </c:pt>
                <c:pt idx="2">
                  <c:v>41950</c:v>
                </c:pt>
                <c:pt idx="3">
                  <c:v>63550</c:v>
                </c:pt>
                <c:pt idx="4">
                  <c:v>89450</c:v>
                </c:pt>
                <c:pt idx="5">
                  <c:v>119450</c:v>
                </c:pt>
                <c:pt idx="6">
                  <c:v>153650</c:v>
                </c:pt>
                <c:pt idx="7">
                  <c:v>209650</c:v>
                </c:pt>
                <c:pt idx="8">
                  <c:v>279350</c:v>
                </c:pt>
                <c:pt idx="9">
                  <c:v>322250</c:v>
                </c:pt>
                <c:pt idx="10">
                  <c:v>356000</c:v>
                </c:pt>
                <c:pt idx="11">
                  <c:v>385200</c:v>
                </c:pt>
                <c:pt idx="12">
                  <c:v>415440</c:v>
                </c:pt>
                <c:pt idx="13">
                  <c:v>443840</c:v>
                </c:pt>
                <c:pt idx="14">
                  <c:v>470440</c:v>
                </c:pt>
                <c:pt idx="15">
                  <c:v>494590</c:v>
                </c:pt>
                <c:pt idx="16">
                  <c:v>517030</c:v>
                </c:pt>
                <c:pt idx="17">
                  <c:v>537130</c:v>
                </c:pt>
                <c:pt idx="18">
                  <c:v>558250</c:v>
                </c:pt>
                <c:pt idx="19">
                  <c:v>593250</c:v>
                </c:pt>
                <c:pt idx="20">
                  <c:v>636450</c:v>
                </c:pt>
                <c:pt idx="21">
                  <c:v>659550</c:v>
                </c:pt>
                <c:pt idx="22">
                  <c:v>675550</c:v>
                </c:pt>
                <c:pt idx="23">
                  <c:v>684850</c:v>
                </c:pt>
              </c:numCache>
            </c:numRef>
          </c:val>
        </c:ser>
        <c:axId val="46906473"/>
        <c:axId val="17505945"/>
      </c:areaChart>
      <c:catAx>
        <c:axId val="46906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05945"/>
        <c:crosses val="autoZero"/>
        <c:auto val="1"/>
        <c:lblAlgn val="ctr"/>
        <c:lblOffset val="100"/>
        <c:noMultiLvlLbl val="0"/>
      </c:catAx>
      <c:valAx>
        <c:axId val="17505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0647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41400</xdr:rowOff>
    </xdr:from>
    <xdr:to>
      <xdr:col>10</xdr:col>
      <xdr:colOff>4680</xdr:colOff>
      <xdr:row>21</xdr:row>
      <xdr:rowOff>52920</xdr:rowOff>
    </xdr:to>
    <xdr:graphicFrame>
      <xdr:nvGraphicFramePr>
        <xdr:cNvPr id="0" name="Chart 1"/>
        <xdr:cNvGraphicFramePr/>
      </xdr:nvGraphicFramePr>
      <xdr:xfrm>
        <a:off x="0" y="1143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5</xdr:row>
      <xdr:rowOff>41400</xdr:rowOff>
    </xdr:from>
    <xdr:to>
      <xdr:col>21</xdr:col>
      <xdr:colOff>4680</xdr:colOff>
      <xdr:row>21</xdr:row>
      <xdr:rowOff>52920</xdr:rowOff>
    </xdr:to>
    <xdr:graphicFrame>
      <xdr:nvGraphicFramePr>
        <xdr:cNvPr id="1" name="Chart 2"/>
        <xdr:cNvGraphicFramePr/>
      </xdr:nvGraphicFramePr>
      <xdr:xfrm>
        <a:off x="6726600" y="1143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5</xdr:row>
      <xdr:rowOff>41400</xdr:rowOff>
    </xdr:from>
    <xdr:to>
      <xdr:col>32</xdr:col>
      <xdr:colOff>4680</xdr:colOff>
      <xdr:row>21</xdr:row>
      <xdr:rowOff>52920</xdr:rowOff>
    </xdr:to>
    <xdr:graphicFrame>
      <xdr:nvGraphicFramePr>
        <xdr:cNvPr id="2" name="Chart 3"/>
        <xdr:cNvGraphicFramePr/>
      </xdr:nvGraphicFramePr>
      <xdr:xfrm>
        <a:off x="13453200" y="1143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26</xdr:row>
      <xdr:rowOff>41400</xdr:rowOff>
    </xdr:from>
    <xdr:to>
      <xdr:col>10</xdr:col>
      <xdr:colOff>4680</xdr:colOff>
      <xdr:row>42</xdr:row>
      <xdr:rowOff>52920</xdr:rowOff>
    </xdr:to>
    <xdr:graphicFrame>
      <xdr:nvGraphicFramePr>
        <xdr:cNvPr id="3" name="Chart 4"/>
        <xdr:cNvGraphicFramePr/>
      </xdr:nvGraphicFramePr>
      <xdr:xfrm>
        <a:off x="0" y="5143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26</xdr:row>
      <xdr:rowOff>41400</xdr:rowOff>
    </xdr:from>
    <xdr:to>
      <xdr:col>21</xdr:col>
      <xdr:colOff>4680</xdr:colOff>
      <xdr:row>42</xdr:row>
      <xdr:rowOff>52920</xdr:rowOff>
    </xdr:to>
    <xdr:graphicFrame>
      <xdr:nvGraphicFramePr>
        <xdr:cNvPr id="4" name="Chart 5"/>
        <xdr:cNvGraphicFramePr/>
      </xdr:nvGraphicFramePr>
      <xdr:xfrm>
        <a:off x="6726600" y="5143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0</xdr:colOff>
      <xdr:row>26</xdr:row>
      <xdr:rowOff>41400</xdr:rowOff>
    </xdr:from>
    <xdr:to>
      <xdr:col>32</xdr:col>
      <xdr:colOff>4680</xdr:colOff>
      <xdr:row>42</xdr:row>
      <xdr:rowOff>52920</xdr:rowOff>
    </xdr:to>
    <xdr:graphicFrame>
      <xdr:nvGraphicFramePr>
        <xdr:cNvPr id="5" name="Chart 6"/>
        <xdr:cNvGraphicFramePr/>
      </xdr:nvGraphicFramePr>
      <xdr:xfrm>
        <a:off x="13453200" y="5143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47</xdr:row>
      <xdr:rowOff>41400</xdr:rowOff>
    </xdr:from>
    <xdr:to>
      <xdr:col>5</xdr:col>
      <xdr:colOff>2160</xdr:colOff>
      <xdr:row>63</xdr:row>
      <xdr:rowOff>52920</xdr:rowOff>
    </xdr:to>
    <xdr:graphicFrame>
      <xdr:nvGraphicFramePr>
        <xdr:cNvPr id="6" name="Chart 7"/>
        <xdr:cNvGraphicFramePr/>
      </xdr:nvGraphicFramePr>
      <xdr:xfrm>
        <a:off x="0" y="9144000"/>
        <a:ext cx="30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47</xdr:row>
      <xdr:rowOff>41400</xdr:rowOff>
    </xdr:from>
    <xdr:to>
      <xdr:col>15</xdr:col>
      <xdr:colOff>2160</xdr:colOff>
      <xdr:row>63</xdr:row>
      <xdr:rowOff>52920</xdr:rowOff>
    </xdr:to>
    <xdr:graphicFrame>
      <xdr:nvGraphicFramePr>
        <xdr:cNvPr id="7" name="Chart 8"/>
        <xdr:cNvGraphicFramePr/>
      </xdr:nvGraphicFramePr>
      <xdr:xfrm>
        <a:off x="6114960" y="9144000"/>
        <a:ext cx="30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47</xdr:row>
      <xdr:rowOff>41400</xdr:rowOff>
    </xdr:from>
    <xdr:to>
      <xdr:col>28</xdr:col>
      <xdr:colOff>4320</xdr:colOff>
      <xdr:row>63</xdr:row>
      <xdr:rowOff>52920</xdr:rowOff>
    </xdr:to>
    <xdr:graphicFrame>
      <xdr:nvGraphicFramePr>
        <xdr:cNvPr id="8" name="Chart 9"/>
        <xdr:cNvGraphicFramePr/>
      </xdr:nvGraphicFramePr>
      <xdr:xfrm>
        <a:off x="11007000" y="9144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6"/>
  </cols>
  <sheetData>
    <row r="1" customFormat="false" ht="39.5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customFormat="false" ht="15" hidden="false" customHeight="false" outlineLevel="0" collapsed="false">
      <c r="A2" s="6" t="s">
        <v>31</v>
      </c>
      <c r="B2" s="7" t="n">
        <v>15</v>
      </c>
      <c r="C2" s="8" t="n">
        <v>680</v>
      </c>
      <c r="D2" s="8" t="n">
        <v>5000</v>
      </c>
      <c r="E2" s="9" t="n">
        <v>0</v>
      </c>
      <c r="F2" s="7" t="n">
        <v>8</v>
      </c>
      <c r="G2" s="10" t="n">
        <f aca="false">B2*C2</f>
        <v>10200</v>
      </c>
      <c r="H2" s="6" t="n">
        <f aca="false">ROUND(B2*(1-E2),0)</f>
        <v>15</v>
      </c>
      <c r="I2" s="6" t="n">
        <f aca="false">B2-H2</f>
        <v>0</v>
      </c>
      <c r="J2" s="10" t="n">
        <f aca="false">IFERROR(ROUND(D2/H2,0),0)</f>
        <v>333</v>
      </c>
      <c r="K2" s="11" t="n">
        <f aca="false">IFERROR(D2/G2,0)</f>
        <v>0.490196078431373</v>
      </c>
      <c r="L2" s="6" t="str">
        <f aca="false">IF(ROW()-1&lt;=12,"Year 1","Year 2")</f>
        <v>Year 1</v>
      </c>
      <c r="M2" s="10" t="n">
        <f aca="false">SUM($G$2:G2)</f>
        <v>10200</v>
      </c>
    </row>
    <row r="3" customFormat="false" ht="15" hidden="false" customHeight="false" outlineLevel="0" collapsed="false">
      <c r="A3" s="6" t="s">
        <v>32</v>
      </c>
      <c r="B3" s="7" t="n">
        <v>20</v>
      </c>
      <c r="C3" s="8" t="n">
        <v>700</v>
      </c>
      <c r="D3" s="8" t="n">
        <v>6000</v>
      </c>
      <c r="E3" s="9" t="n">
        <v>0.02</v>
      </c>
      <c r="F3" s="7" t="n">
        <v>9</v>
      </c>
      <c r="G3" s="10" t="n">
        <f aca="false">B3*C3</f>
        <v>14000</v>
      </c>
      <c r="H3" s="6" t="n">
        <f aca="false">ROUND(B3*(1-E3),0)</f>
        <v>20</v>
      </c>
      <c r="I3" s="6" t="n">
        <f aca="false">B3-H3</f>
        <v>0</v>
      </c>
      <c r="J3" s="10" t="n">
        <f aca="false">IFERROR(ROUND(D3/H3,0),0)</f>
        <v>300</v>
      </c>
      <c r="K3" s="11" t="n">
        <f aca="false">IFERROR(D3/G3,0)</f>
        <v>0.428571428571429</v>
      </c>
      <c r="L3" s="6" t="str">
        <f aca="false">IF(ROW()-1&lt;=12,"Year 1","Year 2")</f>
        <v>Year 1</v>
      </c>
      <c r="M3" s="10" t="n">
        <f aca="false">SUM($G$2:G3)</f>
        <v>24200</v>
      </c>
    </row>
    <row r="4" customFormat="false" ht="15" hidden="false" customHeight="false" outlineLevel="0" collapsed="false">
      <c r="A4" s="6" t="s">
        <v>33</v>
      </c>
      <c r="B4" s="7" t="n">
        <v>25</v>
      </c>
      <c r="C4" s="8" t="n">
        <v>710</v>
      </c>
      <c r="D4" s="8" t="n">
        <v>7000</v>
      </c>
      <c r="E4" s="9" t="n">
        <v>0.05</v>
      </c>
      <c r="F4" s="7" t="n">
        <v>10</v>
      </c>
      <c r="G4" s="10" t="n">
        <f aca="false">B4*C4</f>
        <v>17750</v>
      </c>
      <c r="H4" s="6" t="n">
        <f aca="false">ROUND(B4*(1-E4),0)</f>
        <v>24</v>
      </c>
      <c r="I4" s="6" t="n">
        <f aca="false">B4-H4</f>
        <v>1</v>
      </c>
      <c r="J4" s="10" t="n">
        <f aca="false">IFERROR(ROUND(D4/H4,0),0)</f>
        <v>292</v>
      </c>
      <c r="K4" s="11" t="n">
        <f aca="false">IFERROR(D4/G4,0)</f>
        <v>0.394366197183099</v>
      </c>
      <c r="L4" s="6" t="str">
        <f aca="false">IF(ROW()-1&lt;=12,"Year 1","Year 2")</f>
        <v>Year 1</v>
      </c>
      <c r="M4" s="10" t="n">
        <f aca="false">SUM($G$2:G4)</f>
        <v>41950</v>
      </c>
    </row>
    <row r="5" customFormat="false" ht="15" hidden="false" customHeight="false" outlineLevel="0" collapsed="false">
      <c r="A5" s="6" t="s">
        <v>34</v>
      </c>
      <c r="B5" s="7" t="n">
        <v>30</v>
      </c>
      <c r="C5" s="8" t="n">
        <v>720</v>
      </c>
      <c r="D5" s="8" t="n">
        <v>8000</v>
      </c>
      <c r="E5" s="9" t="n">
        <v>0.08</v>
      </c>
      <c r="F5" s="7" t="n">
        <v>10</v>
      </c>
      <c r="G5" s="10" t="n">
        <f aca="false">B5*C5</f>
        <v>21600</v>
      </c>
      <c r="H5" s="6" t="n">
        <f aca="false">ROUND(B5*(1-E5),0)</f>
        <v>28</v>
      </c>
      <c r="I5" s="6" t="n">
        <f aca="false">B5-H5</f>
        <v>2</v>
      </c>
      <c r="J5" s="10" t="n">
        <f aca="false">IFERROR(ROUND(D5/H5,0),0)</f>
        <v>286</v>
      </c>
      <c r="K5" s="11" t="n">
        <f aca="false">IFERROR(D5/G5,0)</f>
        <v>0.37037037037037</v>
      </c>
      <c r="L5" s="6" t="str">
        <f aca="false">IF(ROW()-1&lt;=12,"Year 1","Year 2")</f>
        <v>Year 1</v>
      </c>
      <c r="M5" s="10" t="n">
        <f aca="false">SUM($G$2:G5)</f>
        <v>63550</v>
      </c>
    </row>
    <row r="6" customFormat="false" ht="15" hidden="false" customHeight="false" outlineLevel="0" collapsed="false">
      <c r="A6" s="6" t="s">
        <v>35</v>
      </c>
      <c r="B6" s="7" t="n">
        <v>35</v>
      </c>
      <c r="C6" s="8" t="n">
        <v>740</v>
      </c>
      <c r="D6" s="8" t="n">
        <v>9000</v>
      </c>
      <c r="E6" s="9" t="n">
        <v>0.1</v>
      </c>
      <c r="F6" s="7" t="n">
        <v>12</v>
      </c>
      <c r="G6" s="10" t="n">
        <f aca="false">B6*C6</f>
        <v>25900</v>
      </c>
      <c r="H6" s="6" t="n">
        <f aca="false">ROUND(B6*(1-E6),0)</f>
        <v>32</v>
      </c>
      <c r="I6" s="6" t="n">
        <f aca="false">B6-H6</f>
        <v>3</v>
      </c>
      <c r="J6" s="10" t="n">
        <f aca="false">IFERROR(ROUND(D6/H6,0),0)</f>
        <v>281</v>
      </c>
      <c r="K6" s="11" t="n">
        <f aca="false">IFERROR(D6/G6,0)</f>
        <v>0.347490347490348</v>
      </c>
      <c r="L6" s="6" t="str">
        <f aca="false">IF(ROW()-1&lt;=12,"Year 1","Year 2")</f>
        <v>Year 1</v>
      </c>
      <c r="M6" s="10" t="n">
        <f aca="false">SUM($G$2:G6)</f>
        <v>89450</v>
      </c>
    </row>
    <row r="7" customFormat="false" ht="15" hidden="false" customHeight="false" outlineLevel="0" collapsed="false">
      <c r="A7" s="6" t="s">
        <v>36</v>
      </c>
      <c r="B7" s="7" t="n">
        <v>40</v>
      </c>
      <c r="C7" s="8" t="n">
        <v>750</v>
      </c>
      <c r="D7" s="8" t="n">
        <v>9000</v>
      </c>
      <c r="E7" s="9" t="n">
        <v>0.12</v>
      </c>
      <c r="F7" s="7" t="n">
        <v>12</v>
      </c>
      <c r="G7" s="10" t="n">
        <f aca="false">B7*C7</f>
        <v>30000</v>
      </c>
      <c r="H7" s="6" t="n">
        <f aca="false">ROUND(B7*(1-E7),0)</f>
        <v>35</v>
      </c>
      <c r="I7" s="6" t="n">
        <f aca="false">B7-H7</f>
        <v>5</v>
      </c>
      <c r="J7" s="10" t="n">
        <f aca="false">IFERROR(ROUND(D7/H7,0),0)</f>
        <v>257</v>
      </c>
      <c r="K7" s="11" t="n">
        <f aca="false">IFERROR(D7/G7,0)</f>
        <v>0.3</v>
      </c>
      <c r="L7" s="6" t="str">
        <f aca="false">IF(ROW()-1&lt;=12,"Year 1","Year 2")</f>
        <v>Year 1</v>
      </c>
      <c r="M7" s="10" t="n">
        <f aca="false">SUM($G$2:G7)</f>
        <v>119450</v>
      </c>
    </row>
    <row r="8" customFormat="false" ht="15" hidden="false" customHeight="false" outlineLevel="0" collapsed="false">
      <c r="A8" s="6" t="s">
        <v>37</v>
      </c>
      <c r="B8" s="7" t="n">
        <v>45</v>
      </c>
      <c r="C8" s="8" t="n">
        <v>760</v>
      </c>
      <c r="D8" s="8" t="n">
        <v>10000</v>
      </c>
      <c r="E8" s="9" t="n">
        <v>0.14</v>
      </c>
      <c r="F8" s="7" t="n">
        <v>13</v>
      </c>
      <c r="G8" s="10" t="n">
        <f aca="false">B8*C8</f>
        <v>34200</v>
      </c>
      <c r="H8" s="6" t="n">
        <f aca="false">ROUND(B8*(1-E8),0)</f>
        <v>39</v>
      </c>
      <c r="I8" s="6" t="n">
        <f aca="false">B8-H8</f>
        <v>6</v>
      </c>
      <c r="J8" s="10" t="n">
        <f aca="false">IFERROR(ROUND(D8/H8,0),0)</f>
        <v>256</v>
      </c>
      <c r="K8" s="11" t="n">
        <f aca="false">IFERROR(D8/G8,0)</f>
        <v>0.292397660818713</v>
      </c>
      <c r="L8" s="6" t="str">
        <f aca="false">IF(ROW()-1&lt;=12,"Year 1","Year 2")</f>
        <v>Year 1</v>
      </c>
      <c r="M8" s="10" t="n">
        <f aca="false">SUM($G$2:G8)</f>
        <v>153650</v>
      </c>
    </row>
    <row r="9" customFormat="false" ht="15" hidden="false" customHeight="false" outlineLevel="0" collapsed="false">
      <c r="A9" s="6" t="s">
        <v>38</v>
      </c>
      <c r="B9" s="7" t="n">
        <v>70</v>
      </c>
      <c r="C9" s="8" t="n">
        <v>800</v>
      </c>
      <c r="D9" s="8" t="n">
        <v>14000</v>
      </c>
      <c r="E9" s="9" t="n">
        <v>0.15</v>
      </c>
      <c r="F9" s="7" t="n">
        <v>15</v>
      </c>
      <c r="G9" s="10" t="n">
        <f aca="false">B9*C9</f>
        <v>56000</v>
      </c>
      <c r="H9" s="6" t="n">
        <f aca="false">ROUND(B9*(1-E9),0)</f>
        <v>60</v>
      </c>
      <c r="I9" s="6" t="n">
        <f aca="false">B9-H9</f>
        <v>10</v>
      </c>
      <c r="J9" s="10" t="n">
        <f aca="false">IFERROR(ROUND(D9/H9,0),0)</f>
        <v>233</v>
      </c>
      <c r="K9" s="11" t="n">
        <f aca="false">IFERROR(D9/G9,0)</f>
        <v>0.25</v>
      </c>
      <c r="L9" s="6" t="str">
        <f aca="false">IF(ROW()-1&lt;=12,"Year 1","Year 2")</f>
        <v>Year 1</v>
      </c>
      <c r="M9" s="10" t="n">
        <f aca="false">SUM($G$2:G9)</f>
        <v>209650</v>
      </c>
    </row>
    <row r="10" customFormat="false" ht="15" hidden="false" customHeight="false" outlineLevel="0" collapsed="false">
      <c r="A10" s="6" t="s">
        <v>39</v>
      </c>
      <c r="B10" s="7" t="n">
        <v>85</v>
      </c>
      <c r="C10" s="8" t="n">
        <v>820</v>
      </c>
      <c r="D10" s="8" t="n">
        <v>15000</v>
      </c>
      <c r="E10" s="9" t="n">
        <v>0.16</v>
      </c>
      <c r="F10" s="7" t="n">
        <v>16</v>
      </c>
      <c r="G10" s="10" t="n">
        <f aca="false">B10*C10</f>
        <v>69700</v>
      </c>
      <c r="H10" s="6" t="n">
        <f aca="false">ROUND(B10*(1-E10),0)</f>
        <v>71</v>
      </c>
      <c r="I10" s="6" t="n">
        <f aca="false">B10-H10</f>
        <v>14</v>
      </c>
      <c r="J10" s="10" t="n">
        <f aca="false">IFERROR(ROUND(D10/H10,0),0)</f>
        <v>211</v>
      </c>
      <c r="K10" s="11" t="n">
        <f aca="false">IFERROR(D10/G10,0)</f>
        <v>0.215208034433286</v>
      </c>
      <c r="L10" s="6" t="str">
        <f aca="false">IF(ROW()-1&lt;=12,"Year 1","Year 2")</f>
        <v>Year 1</v>
      </c>
      <c r="M10" s="10" t="n">
        <f aca="false">SUM($G$2:G10)</f>
        <v>279350</v>
      </c>
    </row>
    <row r="11" customFormat="false" ht="15" hidden="false" customHeight="false" outlineLevel="0" collapsed="false">
      <c r="A11" s="6" t="s">
        <v>40</v>
      </c>
      <c r="B11" s="7" t="n">
        <v>55</v>
      </c>
      <c r="C11" s="8" t="n">
        <v>780</v>
      </c>
      <c r="D11" s="8" t="n">
        <v>11000</v>
      </c>
      <c r="E11" s="9" t="n">
        <v>0.18</v>
      </c>
      <c r="F11" s="7" t="n">
        <v>14</v>
      </c>
      <c r="G11" s="10" t="n">
        <f aca="false">B11*C11</f>
        <v>42900</v>
      </c>
      <c r="H11" s="6" t="n">
        <f aca="false">ROUND(B11*(1-E11),0)</f>
        <v>45</v>
      </c>
      <c r="I11" s="6" t="n">
        <f aca="false">B11-H11</f>
        <v>10</v>
      </c>
      <c r="J11" s="10" t="n">
        <f aca="false">IFERROR(ROUND(D11/H11,0),0)</f>
        <v>244</v>
      </c>
      <c r="K11" s="11" t="n">
        <f aca="false">IFERROR(D11/G11,0)</f>
        <v>0.256410256410256</v>
      </c>
      <c r="L11" s="6" t="str">
        <f aca="false">IF(ROW()-1&lt;=12,"Year 1","Year 2")</f>
        <v>Year 1</v>
      </c>
      <c r="M11" s="10" t="n">
        <f aca="false">SUM($G$2:G11)</f>
        <v>322250</v>
      </c>
    </row>
    <row r="12" customFormat="false" ht="15" hidden="false" customHeight="false" outlineLevel="0" collapsed="false">
      <c r="A12" s="6" t="s">
        <v>41</v>
      </c>
      <c r="B12" s="7" t="n">
        <v>45</v>
      </c>
      <c r="C12" s="8" t="n">
        <v>750</v>
      </c>
      <c r="D12" s="8" t="n">
        <v>9000</v>
      </c>
      <c r="E12" s="9" t="n">
        <v>0.19</v>
      </c>
      <c r="F12" s="7" t="n">
        <v>13</v>
      </c>
      <c r="G12" s="10" t="n">
        <f aca="false">B12*C12</f>
        <v>33750</v>
      </c>
      <c r="H12" s="6" t="n">
        <f aca="false">ROUND(B12*(1-E12),0)</f>
        <v>36</v>
      </c>
      <c r="I12" s="6" t="n">
        <f aca="false">B12-H12</f>
        <v>9</v>
      </c>
      <c r="J12" s="10" t="n">
        <f aca="false">IFERROR(ROUND(D12/H12,0),0)</f>
        <v>250</v>
      </c>
      <c r="K12" s="11" t="n">
        <f aca="false">IFERROR(D12/G12,0)</f>
        <v>0.266666666666667</v>
      </c>
      <c r="L12" s="6" t="str">
        <f aca="false">IF(ROW()-1&lt;=12,"Year 1","Year 2")</f>
        <v>Year 1</v>
      </c>
      <c r="M12" s="10" t="n">
        <f aca="false">SUM($G$2:G12)</f>
        <v>356000</v>
      </c>
    </row>
    <row r="13" customFormat="false" ht="15" hidden="false" customHeight="false" outlineLevel="0" collapsed="false">
      <c r="A13" s="6" t="s">
        <v>42</v>
      </c>
      <c r="B13" s="7" t="n">
        <v>40</v>
      </c>
      <c r="C13" s="8" t="n">
        <v>730</v>
      </c>
      <c r="D13" s="8" t="n">
        <v>8000</v>
      </c>
      <c r="E13" s="9" t="n">
        <v>0.2</v>
      </c>
      <c r="F13" s="7" t="n">
        <v>12</v>
      </c>
      <c r="G13" s="10" t="n">
        <f aca="false">B13*C13</f>
        <v>29200</v>
      </c>
      <c r="H13" s="6" t="n">
        <f aca="false">ROUND(B13*(1-E13),0)</f>
        <v>32</v>
      </c>
      <c r="I13" s="6" t="n">
        <f aca="false">B13-H13</f>
        <v>8</v>
      </c>
      <c r="J13" s="10" t="n">
        <f aca="false">IFERROR(ROUND(D13/H13,0),0)</f>
        <v>250</v>
      </c>
      <c r="K13" s="11" t="n">
        <f aca="false">IFERROR(D13/G13,0)</f>
        <v>0.273972602739726</v>
      </c>
      <c r="L13" s="6" t="str">
        <f aca="false">IF(ROW()-1&lt;=12,"Year 1","Year 2")</f>
        <v>Year 1</v>
      </c>
      <c r="M13" s="10" t="n">
        <f aca="false">SUM($G$2:G13)</f>
        <v>385200</v>
      </c>
    </row>
    <row r="14" customFormat="false" ht="15" hidden="false" customHeight="false" outlineLevel="0" collapsed="false">
      <c r="A14" s="6" t="s">
        <v>43</v>
      </c>
      <c r="B14" s="7" t="n">
        <v>42</v>
      </c>
      <c r="C14" s="8" t="n">
        <v>720</v>
      </c>
      <c r="D14" s="8" t="n">
        <v>8000</v>
      </c>
      <c r="E14" s="9" t="n">
        <v>0.2</v>
      </c>
      <c r="F14" s="7" t="n">
        <v>13</v>
      </c>
      <c r="G14" s="10" t="n">
        <f aca="false">B14*C14</f>
        <v>30240</v>
      </c>
      <c r="H14" s="6" t="n">
        <f aca="false">ROUND(B14*(1-E14),0)</f>
        <v>34</v>
      </c>
      <c r="I14" s="6" t="n">
        <f aca="false">B14-H14</f>
        <v>8</v>
      </c>
      <c r="J14" s="10" t="n">
        <f aca="false">IFERROR(ROUND(D14/H14,0),0)</f>
        <v>235</v>
      </c>
      <c r="K14" s="11" t="n">
        <f aca="false">IFERROR(D14/G14,0)</f>
        <v>0.264550264550265</v>
      </c>
      <c r="L14" s="6" t="str">
        <f aca="false">IF(ROW()-1&lt;=12,"Year 1","Year 2")</f>
        <v>Year 2</v>
      </c>
      <c r="M14" s="10" t="n">
        <f aca="false">SUM($G$2:G14)</f>
        <v>415440</v>
      </c>
    </row>
    <row r="15" customFormat="false" ht="15" hidden="false" customHeight="false" outlineLevel="0" collapsed="false">
      <c r="A15" s="6" t="s">
        <v>44</v>
      </c>
      <c r="B15" s="7" t="n">
        <v>40</v>
      </c>
      <c r="C15" s="8" t="n">
        <v>710</v>
      </c>
      <c r="D15" s="8" t="n">
        <v>8000</v>
      </c>
      <c r="E15" s="9" t="n">
        <v>0.19</v>
      </c>
      <c r="F15" s="7" t="n">
        <v>14</v>
      </c>
      <c r="G15" s="10" t="n">
        <f aca="false">B15*C15</f>
        <v>28400</v>
      </c>
      <c r="H15" s="6" t="n">
        <f aca="false">ROUND(B15*(1-E15),0)</f>
        <v>32</v>
      </c>
      <c r="I15" s="6" t="n">
        <f aca="false">B15-H15</f>
        <v>8</v>
      </c>
      <c r="J15" s="10" t="n">
        <f aca="false">IFERROR(ROUND(D15/H15,0),0)</f>
        <v>250</v>
      </c>
      <c r="K15" s="11" t="n">
        <f aca="false">IFERROR(D15/G15,0)</f>
        <v>0.28169014084507</v>
      </c>
      <c r="L15" s="6" t="str">
        <f aca="false">IF(ROW()-1&lt;=12,"Year 1","Year 2")</f>
        <v>Year 2</v>
      </c>
      <c r="M15" s="10" t="n">
        <f aca="false">SUM($G$2:G15)</f>
        <v>443840</v>
      </c>
    </row>
    <row r="16" customFormat="false" ht="15" hidden="false" customHeight="false" outlineLevel="0" collapsed="false">
      <c r="A16" s="6" t="s">
        <v>45</v>
      </c>
      <c r="B16" s="7" t="n">
        <v>38</v>
      </c>
      <c r="C16" s="8" t="n">
        <v>700</v>
      </c>
      <c r="D16" s="8" t="n">
        <v>7000</v>
      </c>
      <c r="E16" s="9" t="n">
        <v>0.18</v>
      </c>
      <c r="F16" s="7" t="n">
        <v>15</v>
      </c>
      <c r="G16" s="10" t="n">
        <f aca="false">B16*C16</f>
        <v>26600</v>
      </c>
      <c r="H16" s="6" t="n">
        <f aca="false">ROUND(B16*(1-E16),0)</f>
        <v>31</v>
      </c>
      <c r="I16" s="6" t="n">
        <f aca="false">B16-H16</f>
        <v>7</v>
      </c>
      <c r="J16" s="10" t="n">
        <f aca="false">IFERROR(ROUND(D16/H16,0),0)</f>
        <v>226</v>
      </c>
      <c r="K16" s="11" t="n">
        <f aca="false">IFERROR(D16/G16,0)</f>
        <v>0.263157894736842</v>
      </c>
      <c r="L16" s="6" t="str">
        <f aca="false">IF(ROW()-1&lt;=12,"Year 1","Year 2")</f>
        <v>Year 2</v>
      </c>
      <c r="M16" s="10" t="n">
        <f aca="false">SUM($G$2:G16)</f>
        <v>470440</v>
      </c>
    </row>
    <row r="17" customFormat="false" ht="15" hidden="false" customHeight="false" outlineLevel="0" collapsed="false">
      <c r="A17" s="6" t="s">
        <v>46</v>
      </c>
      <c r="B17" s="7" t="n">
        <v>35</v>
      </c>
      <c r="C17" s="8" t="n">
        <v>690</v>
      </c>
      <c r="D17" s="8" t="n">
        <v>7000</v>
      </c>
      <c r="E17" s="9" t="n">
        <v>0.17</v>
      </c>
      <c r="F17" s="7" t="n">
        <v>16</v>
      </c>
      <c r="G17" s="10" t="n">
        <f aca="false">B17*C17</f>
        <v>24150</v>
      </c>
      <c r="H17" s="6" t="n">
        <f aca="false">ROUND(B17*(1-E17),0)</f>
        <v>29</v>
      </c>
      <c r="I17" s="6" t="n">
        <f aca="false">B17-H17</f>
        <v>6</v>
      </c>
      <c r="J17" s="10" t="n">
        <f aca="false">IFERROR(ROUND(D17/H17,0),0)</f>
        <v>241</v>
      </c>
      <c r="K17" s="11" t="n">
        <f aca="false">IFERROR(D17/G17,0)</f>
        <v>0.289855072463768</v>
      </c>
      <c r="L17" s="6" t="str">
        <f aca="false">IF(ROW()-1&lt;=12,"Year 1","Year 2")</f>
        <v>Year 2</v>
      </c>
      <c r="M17" s="10" t="n">
        <f aca="false">SUM($G$2:G17)</f>
        <v>494590</v>
      </c>
    </row>
    <row r="18" customFormat="false" ht="15" hidden="false" customHeight="false" outlineLevel="0" collapsed="false">
      <c r="A18" s="6" t="s">
        <v>47</v>
      </c>
      <c r="B18" s="7" t="n">
        <v>33</v>
      </c>
      <c r="C18" s="8" t="n">
        <v>680</v>
      </c>
      <c r="D18" s="8" t="n">
        <v>6000</v>
      </c>
      <c r="E18" s="9" t="n">
        <v>0.16</v>
      </c>
      <c r="F18" s="7" t="n">
        <v>17</v>
      </c>
      <c r="G18" s="10" t="n">
        <f aca="false">B18*C18</f>
        <v>22440</v>
      </c>
      <c r="H18" s="6" t="n">
        <f aca="false">ROUND(B18*(1-E18),0)</f>
        <v>28</v>
      </c>
      <c r="I18" s="6" t="n">
        <f aca="false">B18-H18</f>
        <v>5</v>
      </c>
      <c r="J18" s="10" t="n">
        <f aca="false">IFERROR(ROUND(D18/H18,0),0)</f>
        <v>214</v>
      </c>
      <c r="K18" s="11" t="n">
        <f aca="false">IFERROR(D18/G18,0)</f>
        <v>0.267379679144385</v>
      </c>
      <c r="L18" s="6" t="str">
        <f aca="false">IF(ROW()-1&lt;=12,"Year 1","Year 2")</f>
        <v>Year 2</v>
      </c>
      <c r="M18" s="10" t="n">
        <f aca="false">SUM($G$2:G18)</f>
        <v>517030</v>
      </c>
    </row>
    <row r="19" customFormat="false" ht="15" hidden="false" customHeight="false" outlineLevel="0" collapsed="false">
      <c r="A19" s="6" t="s">
        <v>48</v>
      </c>
      <c r="B19" s="7" t="n">
        <v>30</v>
      </c>
      <c r="C19" s="8" t="n">
        <v>670</v>
      </c>
      <c r="D19" s="8" t="n">
        <v>6000</v>
      </c>
      <c r="E19" s="9" t="n">
        <v>0.15</v>
      </c>
      <c r="F19" s="7" t="n">
        <v>17</v>
      </c>
      <c r="G19" s="10" t="n">
        <f aca="false">B19*C19</f>
        <v>20100</v>
      </c>
      <c r="H19" s="6" t="n">
        <f aca="false">ROUND(B19*(1-E19),0)</f>
        <v>26</v>
      </c>
      <c r="I19" s="6" t="n">
        <f aca="false">B19-H19</f>
        <v>4</v>
      </c>
      <c r="J19" s="10" t="n">
        <f aca="false">IFERROR(ROUND(D19/H19,0),0)</f>
        <v>231</v>
      </c>
      <c r="K19" s="11" t="n">
        <f aca="false">IFERROR(D19/G19,0)</f>
        <v>0.298507462686567</v>
      </c>
      <c r="L19" s="6" t="str">
        <f aca="false">IF(ROW()-1&lt;=12,"Year 1","Year 2")</f>
        <v>Year 2</v>
      </c>
      <c r="M19" s="10" t="n">
        <f aca="false">SUM($G$2:G19)</f>
        <v>537130</v>
      </c>
    </row>
    <row r="20" customFormat="false" ht="15" hidden="false" customHeight="false" outlineLevel="0" collapsed="false">
      <c r="A20" s="6" t="s">
        <v>49</v>
      </c>
      <c r="B20" s="7" t="n">
        <v>32</v>
      </c>
      <c r="C20" s="8" t="n">
        <v>660</v>
      </c>
      <c r="D20" s="8" t="n">
        <v>6000</v>
      </c>
      <c r="E20" s="9" t="n">
        <v>0.14</v>
      </c>
      <c r="F20" s="7" t="n">
        <v>18</v>
      </c>
      <c r="G20" s="10" t="n">
        <f aca="false">B20*C20</f>
        <v>21120</v>
      </c>
      <c r="H20" s="6" t="n">
        <f aca="false">ROUND(B20*(1-E20),0)</f>
        <v>28</v>
      </c>
      <c r="I20" s="6" t="n">
        <f aca="false">B20-H20</f>
        <v>4</v>
      </c>
      <c r="J20" s="10" t="n">
        <f aca="false">IFERROR(ROUND(D20/H20,0),0)</f>
        <v>214</v>
      </c>
      <c r="K20" s="11" t="n">
        <f aca="false">IFERROR(D20/G20,0)</f>
        <v>0.284090909090909</v>
      </c>
      <c r="L20" s="6" t="str">
        <f aca="false">IF(ROW()-1&lt;=12,"Year 1","Year 2")</f>
        <v>Year 2</v>
      </c>
      <c r="M20" s="10" t="n">
        <f aca="false">SUM($G$2:G20)</f>
        <v>558250</v>
      </c>
    </row>
    <row r="21" customFormat="false" ht="15" hidden="false" customHeight="false" outlineLevel="0" collapsed="false">
      <c r="A21" s="6" t="s">
        <v>50</v>
      </c>
      <c r="B21" s="7" t="n">
        <v>50</v>
      </c>
      <c r="C21" s="8" t="n">
        <v>700</v>
      </c>
      <c r="D21" s="8" t="n">
        <v>10000</v>
      </c>
      <c r="E21" s="9" t="n">
        <v>0.14</v>
      </c>
      <c r="F21" s="7" t="n">
        <v>19</v>
      </c>
      <c r="G21" s="10" t="n">
        <f aca="false">B21*C21</f>
        <v>35000</v>
      </c>
      <c r="H21" s="6" t="n">
        <f aca="false">ROUND(B21*(1-E21),0)</f>
        <v>43</v>
      </c>
      <c r="I21" s="6" t="n">
        <f aca="false">B21-H21</f>
        <v>7</v>
      </c>
      <c r="J21" s="10" t="n">
        <f aca="false">IFERROR(ROUND(D21/H21,0),0)</f>
        <v>233</v>
      </c>
      <c r="K21" s="11" t="n">
        <f aca="false">IFERROR(D21/G21,0)</f>
        <v>0.285714285714286</v>
      </c>
      <c r="L21" s="6" t="str">
        <f aca="false">IF(ROW()-1&lt;=12,"Year 1","Year 2")</f>
        <v>Year 2</v>
      </c>
      <c r="M21" s="10" t="n">
        <f aca="false">SUM($G$2:G21)</f>
        <v>593250</v>
      </c>
    </row>
    <row r="22" customFormat="false" ht="15" hidden="false" customHeight="false" outlineLevel="0" collapsed="false">
      <c r="A22" s="6" t="s">
        <v>51</v>
      </c>
      <c r="B22" s="7" t="n">
        <v>60</v>
      </c>
      <c r="C22" s="8" t="n">
        <v>720</v>
      </c>
      <c r="D22" s="8" t="n">
        <v>12000</v>
      </c>
      <c r="E22" s="9" t="n">
        <v>0.13</v>
      </c>
      <c r="F22" s="7" t="n">
        <v>18</v>
      </c>
      <c r="G22" s="10" t="n">
        <f aca="false">B22*C22</f>
        <v>43200</v>
      </c>
      <c r="H22" s="6" t="n">
        <f aca="false">ROUND(B22*(1-E22),0)</f>
        <v>52</v>
      </c>
      <c r="I22" s="6" t="n">
        <f aca="false">B22-H22</f>
        <v>8</v>
      </c>
      <c r="J22" s="10" t="n">
        <f aca="false">IFERROR(ROUND(D22/H22,0),0)</f>
        <v>231</v>
      </c>
      <c r="K22" s="11" t="n">
        <f aca="false">IFERROR(D22/G22,0)</f>
        <v>0.277777777777778</v>
      </c>
      <c r="L22" s="6" t="str">
        <f aca="false">IF(ROW()-1&lt;=12,"Year 1","Year 2")</f>
        <v>Year 2</v>
      </c>
      <c r="M22" s="10" t="n">
        <f aca="false">SUM($G$2:G22)</f>
        <v>636450</v>
      </c>
    </row>
    <row r="23" customFormat="false" ht="15" hidden="false" customHeight="false" outlineLevel="0" collapsed="false">
      <c r="A23" s="6" t="s">
        <v>52</v>
      </c>
      <c r="B23" s="7" t="n">
        <v>35</v>
      </c>
      <c r="C23" s="8" t="n">
        <v>660</v>
      </c>
      <c r="D23" s="8" t="n">
        <v>6000</v>
      </c>
      <c r="E23" s="9" t="n">
        <v>0.11</v>
      </c>
      <c r="F23" s="7" t="n">
        <v>15</v>
      </c>
      <c r="G23" s="10" t="n">
        <f aca="false">B23*C23</f>
        <v>23100</v>
      </c>
      <c r="H23" s="6" t="n">
        <f aca="false">ROUND(B23*(1-E23),0)</f>
        <v>31</v>
      </c>
      <c r="I23" s="6" t="n">
        <f aca="false">B23-H23</f>
        <v>4</v>
      </c>
      <c r="J23" s="10" t="n">
        <f aca="false">IFERROR(ROUND(D23/H23,0),0)</f>
        <v>194</v>
      </c>
      <c r="K23" s="11" t="n">
        <f aca="false">IFERROR(D23/G23,0)</f>
        <v>0.25974025974026</v>
      </c>
      <c r="L23" s="6" t="str">
        <f aca="false">IF(ROW()-1&lt;=12,"Year 1","Year 2")</f>
        <v>Year 2</v>
      </c>
      <c r="M23" s="10" t="n">
        <f aca="false">SUM($G$2:G23)</f>
        <v>659550</v>
      </c>
    </row>
    <row r="24" customFormat="false" ht="15" hidden="false" customHeight="false" outlineLevel="0" collapsed="false">
      <c r="A24" s="6" t="s">
        <v>53</v>
      </c>
      <c r="B24" s="7" t="n">
        <v>25</v>
      </c>
      <c r="C24" s="8" t="n">
        <v>640</v>
      </c>
      <c r="D24" s="8" t="n">
        <v>5000</v>
      </c>
      <c r="E24" s="9" t="n">
        <v>0.1</v>
      </c>
      <c r="F24" s="7" t="n">
        <v>12</v>
      </c>
      <c r="G24" s="10" t="n">
        <f aca="false">B24*C24</f>
        <v>16000</v>
      </c>
      <c r="H24" s="6" t="n">
        <f aca="false">ROUND(B24*(1-E24),0)</f>
        <v>23</v>
      </c>
      <c r="I24" s="6" t="n">
        <f aca="false">B24-H24</f>
        <v>2</v>
      </c>
      <c r="J24" s="10" t="n">
        <f aca="false">IFERROR(ROUND(D24/H24,0),0)</f>
        <v>217</v>
      </c>
      <c r="K24" s="11" t="n">
        <f aca="false">IFERROR(D24/G24,0)</f>
        <v>0.3125</v>
      </c>
      <c r="L24" s="6" t="str">
        <f aca="false">IF(ROW()-1&lt;=12,"Year 1","Year 2")</f>
        <v>Year 2</v>
      </c>
      <c r="M24" s="10" t="n">
        <f aca="false">SUM($G$2:G24)</f>
        <v>675550</v>
      </c>
    </row>
    <row r="25" customFormat="false" ht="15" hidden="false" customHeight="false" outlineLevel="0" collapsed="false">
      <c r="A25" s="6" t="s">
        <v>54</v>
      </c>
      <c r="B25" s="7" t="n">
        <v>15</v>
      </c>
      <c r="C25" s="8" t="n">
        <v>620</v>
      </c>
      <c r="D25" s="8" t="n">
        <v>4000</v>
      </c>
      <c r="E25" s="9" t="n">
        <v>0.09</v>
      </c>
      <c r="F25" s="7" t="n">
        <v>10</v>
      </c>
      <c r="G25" s="10" t="n">
        <f aca="false">B25*C25</f>
        <v>9300</v>
      </c>
      <c r="H25" s="6" t="n">
        <f aca="false">ROUND(B25*(1-E25),0)</f>
        <v>14</v>
      </c>
      <c r="I25" s="6" t="n">
        <f aca="false">B25-H25</f>
        <v>1</v>
      </c>
      <c r="J25" s="10" t="n">
        <f aca="false">IFERROR(ROUND(D25/H25,0),0)</f>
        <v>286</v>
      </c>
      <c r="K25" s="11" t="n">
        <f aca="false">IFERROR(D25/G25,0)</f>
        <v>0.43010752688172</v>
      </c>
      <c r="L25" s="6" t="str">
        <f aca="false">IF(ROW()-1&lt;=12,"Year 1","Year 2")</f>
        <v>Year 2</v>
      </c>
      <c r="M25" s="10" t="n">
        <f aca="false">SUM($G$2:G25)</f>
        <v>684850</v>
      </c>
    </row>
    <row r="26" customFormat="false" ht="15" hidden="false" customHeight="false" outlineLevel="0" collapsed="false">
      <c r="A26" s="12" t="s">
        <v>55</v>
      </c>
      <c r="B26" s="13" t="n">
        <f aca="false">SUM(B2:B25)</f>
        <v>940</v>
      </c>
      <c r="C26" s="14"/>
      <c r="D26" s="13" t="n">
        <f aca="false">SUM(D2:D25)</f>
        <v>196000</v>
      </c>
      <c r="E26" s="14"/>
      <c r="F26" s="14"/>
      <c r="G26" s="13" t="n">
        <f aca="false">SUM(G2:G25)</f>
        <v>684850</v>
      </c>
      <c r="H26" s="14"/>
      <c r="I26" s="14"/>
      <c r="J26" s="13" t="n">
        <f aca="false">ROUND(AVERAGE(J2:J25),0)</f>
        <v>249</v>
      </c>
      <c r="K26" s="15" t="n">
        <f aca="false">D26/G26</f>
        <v>0.286194057092794</v>
      </c>
      <c r="L26" s="14"/>
      <c r="M26" s="14"/>
    </row>
    <row r="29" customFormat="false" ht="15" hidden="false" customHeight="false" outlineLevel="0" collapsed="false">
      <c r="A29" s="16" t="s">
        <v>56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false" outlineLevel="0" collapsed="false">
      <c r="A30" s="18" t="s">
        <v>57</v>
      </c>
      <c r="B30" s="18" t="s">
        <v>58</v>
      </c>
      <c r="D30" s="19" t="s">
        <v>59</v>
      </c>
      <c r="E30" s="19" t="s">
        <v>60</v>
      </c>
      <c r="F30" s="19" t="s">
        <v>61</v>
      </c>
      <c r="H30" s="18" t="s">
        <v>29</v>
      </c>
      <c r="I30" s="18" t="s">
        <v>62</v>
      </c>
      <c r="J30" s="18" t="s">
        <v>63</v>
      </c>
      <c r="K30" s="18" t="s">
        <v>64</v>
      </c>
      <c r="L30" s="18" t="s">
        <v>65</v>
      </c>
      <c r="M30" s="18" t="s">
        <v>66</v>
      </c>
      <c r="N30" s="18" t="s">
        <v>67</v>
      </c>
    </row>
    <row r="31" customFormat="false" ht="15" hidden="false" customHeight="false" outlineLevel="0" collapsed="false">
      <c r="A31" s="20" t="s">
        <v>25</v>
      </c>
      <c r="B31" s="20" t="n">
        <f aca="false">SUM(H2:H25)</f>
        <v>808</v>
      </c>
      <c r="D31" s="21" t="s">
        <v>68</v>
      </c>
      <c r="E31" s="20" t="n">
        <f aca="false">B2</f>
        <v>15</v>
      </c>
      <c r="F31" s="20" t="n">
        <f aca="false">B14</f>
        <v>42</v>
      </c>
      <c r="H31" s="20" t="s">
        <v>69</v>
      </c>
      <c r="I31" s="22" t="n">
        <f aca="false">SUMIFS(B2:B25,L2:L25,"Year 1")</f>
        <v>505</v>
      </c>
      <c r="J31" s="22" t="n">
        <f aca="false">SUMIFS(G2:G25,L2:L25,"Year 1")</f>
        <v>385200</v>
      </c>
      <c r="K31" s="22" t="n">
        <f aca="false">SUMIFS(D2:D25,L2:L25,"Year 1")</f>
        <v>111000</v>
      </c>
      <c r="L31" s="22" t="n">
        <f aca="false">K31/SUMIFS(H2:H25,L2:L25,"Year 1")</f>
        <v>254.004576659039</v>
      </c>
      <c r="M31" s="23" t="n">
        <f aca="false">SUMIFS(I2:I25,L2:L25,"Year 1")/I31</f>
        <v>0.134653465346535</v>
      </c>
      <c r="N31" s="22" t="n">
        <f aca="false">_xlfn.MAXIFS(F2:F25,L2:L25,"Year 1")</f>
        <v>16</v>
      </c>
    </row>
    <row r="32" customFormat="false" ht="15" hidden="false" customHeight="false" outlineLevel="0" collapsed="false">
      <c r="A32" s="20" t="s">
        <v>26</v>
      </c>
      <c r="B32" s="20" t="n">
        <f aca="false">SUM(I2:I25)</f>
        <v>132</v>
      </c>
      <c r="D32" s="21" t="s">
        <v>70</v>
      </c>
      <c r="E32" s="20" t="n">
        <f aca="false">B3</f>
        <v>20</v>
      </c>
      <c r="F32" s="20" t="n">
        <f aca="false">B15</f>
        <v>40</v>
      </c>
      <c r="H32" s="20" t="s">
        <v>71</v>
      </c>
      <c r="I32" s="22" t="n">
        <f aca="false">SUMIFS(B2:B25,L2:L25,"Year 2")</f>
        <v>435</v>
      </c>
      <c r="J32" s="22" t="n">
        <f aca="false">SUMIFS(G2:G25,L2:L25,"Year 2")</f>
        <v>299650</v>
      </c>
      <c r="K32" s="22" t="n">
        <f aca="false">SUMIFS(D2:D25,L2:L25,"Year 2")</f>
        <v>85000</v>
      </c>
      <c r="L32" s="22" t="n">
        <f aca="false">K32/SUMIFS(H2:H25,L2:L25,"Year 2")</f>
        <v>229.11051212938</v>
      </c>
      <c r="M32" s="23" t="n">
        <f aca="false">SUMIFS(I2:I25,L2:L25,"Year 2")/I32</f>
        <v>0.147126436781609</v>
      </c>
      <c r="N32" s="22" t="n">
        <f aca="false">_xlfn.MAXIFS(F2:F25,L2:L25,"Year 2")</f>
        <v>19</v>
      </c>
    </row>
    <row r="33" customFormat="false" ht="15" hidden="false" customHeight="false" outlineLevel="0" collapsed="false">
      <c r="D33" s="21" t="s">
        <v>72</v>
      </c>
      <c r="E33" s="20" t="n">
        <f aca="false">B4</f>
        <v>25</v>
      </c>
      <c r="F33" s="20" t="n">
        <f aca="false">B16</f>
        <v>38</v>
      </c>
    </row>
    <row r="34" customFormat="false" ht="15" hidden="false" customHeight="false" outlineLevel="0" collapsed="false">
      <c r="D34" s="21" t="s">
        <v>73</v>
      </c>
      <c r="E34" s="20" t="n">
        <f aca="false">B5</f>
        <v>30</v>
      </c>
      <c r="F34" s="20" t="n">
        <f aca="false">B17</f>
        <v>35</v>
      </c>
    </row>
    <row r="35" customFormat="false" ht="15" hidden="false" customHeight="false" outlineLevel="0" collapsed="false">
      <c r="D35" s="21" t="s">
        <v>74</v>
      </c>
      <c r="E35" s="20" t="n">
        <f aca="false">B6</f>
        <v>35</v>
      </c>
      <c r="F35" s="20" t="n">
        <f aca="false">B18</f>
        <v>33</v>
      </c>
    </row>
    <row r="36" customFormat="false" ht="15" hidden="false" customHeight="false" outlineLevel="0" collapsed="false">
      <c r="D36" s="21" t="s">
        <v>75</v>
      </c>
      <c r="E36" s="20" t="n">
        <f aca="false">B7</f>
        <v>40</v>
      </c>
      <c r="F36" s="20" t="n">
        <f aca="false">B19</f>
        <v>30</v>
      </c>
    </row>
    <row r="37" customFormat="false" ht="15" hidden="false" customHeight="false" outlineLevel="0" collapsed="false">
      <c r="D37" s="21" t="s">
        <v>76</v>
      </c>
      <c r="E37" s="20" t="n">
        <f aca="false">B8</f>
        <v>45</v>
      </c>
      <c r="F37" s="20" t="n">
        <f aca="false">B20</f>
        <v>32</v>
      </c>
    </row>
    <row r="38" customFormat="false" ht="15" hidden="false" customHeight="false" outlineLevel="0" collapsed="false">
      <c r="D38" s="21" t="s">
        <v>77</v>
      </c>
      <c r="E38" s="20" t="n">
        <f aca="false">B9</f>
        <v>70</v>
      </c>
      <c r="F38" s="20" t="n">
        <f aca="false">B21</f>
        <v>50</v>
      </c>
    </row>
    <row r="39" customFormat="false" ht="15" hidden="false" customHeight="false" outlineLevel="0" collapsed="false">
      <c r="D39" s="21" t="s">
        <v>78</v>
      </c>
      <c r="E39" s="20" t="n">
        <f aca="false">B10</f>
        <v>85</v>
      </c>
      <c r="F39" s="20" t="n">
        <f aca="false">B22</f>
        <v>60</v>
      </c>
    </row>
    <row r="40" customFormat="false" ht="15" hidden="false" customHeight="false" outlineLevel="0" collapsed="false">
      <c r="D40" s="21" t="s">
        <v>79</v>
      </c>
      <c r="E40" s="20" t="n">
        <f aca="false">B11</f>
        <v>55</v>
      </c>
      <c r="F40" s="20" t="n">
        <f aca="false">B23</f>
        <v>35</v>
      </c>
    </row>
    <row r="41" customFormat="false" ht="15" hidden="false" customHeight="false" outlineLevel="0" collapsed="false">
      <c r="D41" s="21" t="s">
        <v>80</v>
      </c>
      <c r="E41" s="20" t="n">
        <f aca="false">B12</f>
        <v>45</v>
      </c>
      <c r="F41" s="20" t="n">
        <f aca="false">B24</f>
        <v>25</v>
      </c>
    </row>
    <row r="42" customFormat="false" ht="15" hidden="false" customHeight="false" outlineLevel="0" collapsed="false">
      <c r="D42" s="21" t="s">
        <v>81</v>
      </c>
      <c r="E42" s="20" t="n">
        <f aca="false">B13</f>
        <v>40</v>
      </c>
      <c r="F42" s="20" t="n">
        <f aca="false">B25</f>
        <v>15</v>
      </c>
    </row>
  </sheetData>
  <conditionalFormatting sqref="J2:J25">
    <cfRule type="dataBar" priority="2">
      <dataBar showValue="1" minLength="10" maxLength="90">
        <cfvo type="min" val="0"/>
        <cfvo type="max" val="0"/>
        <color rgb="FFC0504D"/>
      </dataBar>
      <extLst>
        <ext xmlns:x14="http://schemas.microsoft.com/office/spreadsheetml/2009/9/main" uri="{B025F937-C7B1-47D3-B67F-A62EFF666E3E}">
          <x14:id>{D7EB8DF6-8A87-4C64-9E79-648C5EB5AAE3}</x14:id>
        </ext>
      </extLst>
    </cfRule>
  </conditionalFormatting>
  <conditionalFormatting sqref="K2:K25">
    <cfRule type="dataBar" priority="3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{8C5BC0CE-ED61-4315-ADD5-8F574AD0D85D}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EB8DF6-8A87-4C64-9E79-648C5EB5AAE3}">
            <x14:dataBar minLength="10" maxLength="90" axisPosition="none" gradient="true">
              <x14:cfvo type="min"/>
              <x14:cfvo type="max"/>
              <x14:negativeFillColor rgb="FFC0504D"/>
              <x14:axisColor rgb="FF000000"/>
            </x14:dataBar>
          </x14:cfRule>
          <xm:sqref>J2:J25</xm:sqref>
        </x14:conditionalFormatting>
        <x14:conditionalFormatting xmlns:xm="http://schemas.microsoft.com/office/excel/2006/main">
          <x14:cfRule type="dataBar" id="{8C5BC0CE-ED61-4315-ADD5-8F574AD0D85D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K2:K25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" t="s">
        <v>82</v>
      </c>
    </row>
    <row r="2" customFormat="false" ht="15" hidden="false" customHeight="false" outlineLevel="0" collapsed="false">
      <c r="A2" s="24" t="s">
        <v>83</v>
      </c>
    </row>
    <row r="4" customFormat="false" ht="22.05" hidden="false" customHeight="false" outlineLevel="0" collapsed="false">
      <c r="A4" s="25" t="n">
        <f aca="false">SUM(Data!B2:B25)</f>
        <v>940</v>
      </c>
      <c r="B4" s="25"/>
      <c r="C4" s="25"/>
      <c r="D4" s="25"/>
      <c r="F4" s="25" t="n">
        <f aca="false">SUM(Data!G2:G25)</f>
        <v>684850</v>
      </c>
      <c r="G4" s="25"/>
      <c r="H4" s="25"/>
      <c r="I4" s="25"/>
      <c r="K4" s="25" t="n">
        <f aca="false">SUM(Data!D2:D25)/SUM(Data!H2:H25)</f>
        <v>242.574257425743</v>
      </c>
      <c r="L4" s="25"/>
      <c r="M4" s="25"/>
      <c r="N4" s="25"/>
      <c r="P4" s="26" t="str">
        <f aca="false">INDEX(Data!A2:A25,MATCH(MAX(Data!G2:G25),Data!G2:G25,0))</f>
        <v>Nov-22</v>
      </c>
      <c r="Q4" s="26"/>
      <c r="R4" s="26"/>
      <c r="S4" s="26"/>
      <c r="U4" s="27" t="n">
        <f aca="false">MAX(Data!E2:E25)-Data!E25</f>
        <v>0.11</v>
      </c>
      <c r="V4" s="27"/>
      <c r="W4" s="27"/>
      <c r="X4" s="27"/>
      <c r="Z4" s="28" t="n">
        <f aca="false">MAX(Data!F2:F25)-Data!F2</f>
        <v>11</v>
      </c>
      <c r="AA4" s="28"/>
      <c r="AB4" s="28"/>
      <c r="AC4" s="28"/>
    </row>
    <row r="5" customFormat="false" ht="15" hidden="false" customHeight="true" outlineLevel="0" collapsed="false">
      <c r="A5" s="29" t="s">
        <v>84</v>
      </c>
      <c r="B5" s="29"/>
      <c r="C5" s="29"/>
      <c r="D5" s="29"/>
      <c r="F5" s="29" t="s">
        <v>85</v>
      </c>
      <c r="G5" s="29"/>
      <c r="H5" s="29"/>
      <c r="I5" s="29"/>
      <c r="K5" s="29" t="s">
        <v>86</v>
      </c>
      <c r="L5" s="29"/>
      <c r="M5" s="29"/>
      <c r="N5" s="29"/>
      <c r="P5" s="29" t="s">
        <v>87</v>
      </c>
      <c r="Q5" s="29"/>
      <c r="R5" s="29"/>
      <c r="S5" s="29"/>
      <c r="U5" s="29" t="s">
        <v>88</v>
      </c>
      <c r="V5" s="29"/>
      <c r="W5" s="29"/>
      <c r="X5" s="29"/>
      <c r="Z5" s="29" t="s">
        <v>89</v>
      </c>
      <c r="AA5" s="29"/>
      <c r="AB5" s="29"/>
      <c r="AC5" s="29"/>
    </row>
  </sheetData>
  <mergeCells count="12">
    <mergeCell ref="A4:D4"/>
    <mergeCell ref="F4:I4"/>
    <mergeCell ref="K4:N4"/>
    <mergeCell ref="P4:S4"/>
    <mergeCell ref="U4:X4"/>
    <mergeCell ref="Z4:AC4"/>
    <mergeCell ref="A5:D5"/>
    <mergeCell ref="F5:I5"/>
    <mergeCell ref="K5:N5"/>
    <mergeCell ref="P5:S5"/>
    <mergeCell ref="U5:X5"/>
    <mergeCell ref="Z5:A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0" t="s">
        <v>90</v>
      </c>
    </row>
    <row r="3" customFormat="false" ht="15" hidden="false" customHeight="false" outlineLevel="0" collapsed="false">
      <c r="A3" s="31" t="s">
        <v>91</v>
      </c>
    </row>
    <row r="4" customFormat="false" ht="15" hidden="false" customHeight="false" outlineLevel="0" collapsed="false">
      <c r="A4" s="3" t="s">
        <v>92</v>
      </c>
    </row>
    <row r="5" customFormat="false" ht="15" hidden="false" customHeight="false" outlineLevel="0" collapsed="false">
      <c r="A5" s="3" t="s">
        <v>93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94</v>
      </c>
    </row>
    <row r="8" customFormat="false" ht="15" hidden="false" customHeight="false" outlineLevel="0" collapsed="false">
      <c r="A8" s="3" t="s">
        <v>95</v>
      </c>
    </row>
    <row r="9" customFormat="false" ht="15" hidden="false" customHeight="false" outlineLevel="0" collapsed="false">
      <c r="A9" s="3" t="s">
        <v>96</v>
      </c>
    </row>
    <row r="10" customFormat="false" ht="15" hidden="false" customHeight="false" outlineLevel="0" collapsed="false">
      <c r="A10" s="3" t="s">
        <v>97</v>
      </c>
    </row>
    <row r="11" customFormat="false" ht="15" hidden="false" customHeight="false" outlineLevel="0" collapsed="false">
      <c r="A11" s="3" t="s">
        <v>98</v>
      </c>
    </row>
    <row r="13" customFormat="false" ht="15" hidden="false" customHeight="false" outlineLevel="0" collapsed="false">
      <c r="A13" s="31" t="s">
        <v>99</v>
      </c>
    </row>
    <row r="14" customFormat="false" ht="15" hidden="false" customHeight="false" outlineLevel="0" collapsed="false">
      <c r="A14" s="3" t="s">
        <v>100</v>
      </c>
    </row>
    <row r="15" customFormat="false" ht="15" hidden="false" customHeight="false" outlineLevel="0" collapsed="false">
      <c r="A15" s="3" t="s">
        <v>101</v>
      </c>
    </row>
    <row r="16" customFormat="false" ht="15" hidden="false" customHeight="false" outlineLevel="0" collapsed="false">
      <c r="A16" s="3" t="s">
        <v>102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103</v>
      </c>
    </row>
    <row r="19" customFormat="false" ht="15" hidden="false" customHeight="false" outlineLevel="0" collapsed="false">
      <c r="A19" s="3" t="s">
        <v>104</v>
      </c>
    </row>
    <row r="20" customFormat="false" ht="15" hidden="false" customHeight="false" outlineLevel="0" collapsed="false">
      <c r="A20" s="3" t="s">
        <v>105</v>
      </c>
    </row>
    <row r="21" customFormat="false" ht="15" hidden="false" customHeight="false" outlineLevel="0" collapsed="false">
      <c r="A21" s="3" t="s">
        <v>106</v>
      </c>
    </row>
    <row r="22" customFormat="false" ht="15" hidden="false" customHeight="false" outlineLevel="0" collapsed="false">
      <c r="A22" s="3" t="s">
        <v>107</v>
      </c>
    </row>
    <row r="24" customFormat="false" ht="15" hidden="false" customHeight="false" outlineLevel="0" collapsed="false">
      <c r="A24" s="31" t="s">
        <v>108</v>
      </c>
    </row>
    <row r="25" customFormat="false" ht="15" hidden="false" customHeight="false" outlineLevel="0" collapsed="false">
      <c r="A25" s="3" t="s">
        <v>109</v>
      </c>
    </row>
    <row r="26" customFormat="false" ht="15" hidden="false" customHeight="false" outlineLevel="0" collapsed="false">
      <c r="A26" s="3" t="s">
        <v>110</v>
      </c>
    </row>
    <row r="27" customFormat="false" ht="15" hidden="false" customHeight="false" outlineLevel="0" collapsed="false">
      <c r="A27" s="3" t="s">
        <v>111</v>
      </c>
    </row>
    <row r="28" customFormat="false" ht="15" hidden="false" customHeight="false" outlineLevel="0" collapsed="false">
      <c r="A28" s="3" t="s">
        <v>112</v>
      </c>
    </row>
    <row r="30" customFormat="false" ht="15" hidden="false" customHeight="false" outlineLevel="0" collapsed="false">
      <c r="A30" s="31" t="s">
        <v>113</v>
      </c>
    </row>
    <row r="31" customFormat="false" ht="15" hidden="false" customHeight="false" outlineLevel="0" collapsed="false">
      <c r="A31" s="3" t="s">
        <v>114</v>
      </c>
    </row>
    <row r="32" customFormat="false" ht="15" hidden="false" customHeight="false" outlineLevel="0" collapsed="false">
      <c r="A32" s="3" t="s">
        <v>115</v>
      </c>
    </row>
    <row r="33" customFormat="false" ht="15" hidden="false" customHeight="false" outlineLevel="0" collapsed="false">
      <c r="A33" s="3" t="s">
        <v>116</v>
      </c>
    </row>
    <row r="34" customFormat="false" ht="15" hidden="false" customHeight="false" outlineLevel="0" collapsed="false">
      <c r="A34" s="3" t="s">
        <v>117</v>
      </c>
    </row>
    <row r="35" customFormat="false" ht="15" hidden="false" customHeight="false" outlineLevel="0" collapsed="false">
      <c r="A35" s="3" t="s">
        <v>118</v>
      </c>
    </row>
    <row r="36" customFormat="false" ht="15" hidden="false" customHeight="false" outlineLevel="0" collapsed="false">
      <c r="A36" s="3" t="s">
        <v>119</v>
      </c>
    </row>
    <row r="38" customFormat="false" ht="15" hidden="false" customHeight="false" outlineLevel="0" collapsed="false">
      <c r="A38" s="31" t="s">
        <v>120</v>
      </c>
    </row>
    <row r="39" customFormat="false" ht="15" hidden="false" customHeight="false" outlineLevel="0" collapsed="false">
      <c r="A39" s="3" t="s">
        <v>121</v>
      </c>
    </row>
    <row r="40" customFormat="false" ht="15" hidden="false" customHeight="false" outlineLevel="0" collapsed="false">
      <c r="A40" s="3" t="s">
        <v>122</v>
      </c>
    </row>
    <row r="41" customFormat="false" ht="15" hidden="false" customHeight="false" outlineLevel="0" collapsed="false">
      <c r="A41" s="3" t="s">
        <v>123</v>
      </c>
    </row>
    <row r="42" customFormat="false" ht="15" hidden="false" customHeight="false" outlineLevel="0" collapsed="false">
      <c r="A42" s="3" t="s">
        <v>124</v>
      </c>
    </row>
    <row r="43" customFormat="false" ht="15" hidden="false" customHeight="false" outlineLevel="0" collapsed="false">
      <c r="A43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2026-07-15T06:27:48Z</dcterms:created>
  <dc:creator>openpyxl</dc:creator>
  <dc:description/>
  <dc:language>en-US</dc:language>
  <cp:lastModifiedBy/>
  <dcterms:modified xsi:type="dcterms:W3CDTF">2026-07-15T06:27:55Z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